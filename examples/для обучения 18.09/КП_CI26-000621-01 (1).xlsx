
<file path=[Content_Types].xml><?xml version="1.0" encoding="utf-8"?>
<Types xmlns="http://schemas.openxmlformats.org/package/2006/content-types">
  <Default Extension="phpeFZNr3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VOK\Desktop\Частное лицо, Капитальный ремонт здания  ГБОУ СК «Лицей №14 им. Героя РФ В.В.Нургалиева»\"/>
    </mc:Choice>
  </mc:AlternateContent>
  <xr:revisionPtr revIDLastSave="0" documentId="8_{02C3A204-2059-433E-BEF4-B698A4117310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Sheet1" sheetId="1" r:id="rId1"/>
  </sheets>
  <definedNames>
    <definedName name="_xlnm.Print_Area" localSheetId="0">Sheet1!$A$1:$E$89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5" i="1" l="1"/>
  <c r="E86" i="1" s="1"/>
  <c r="E79" i="1"/>
  <c r="E78" i="1"/>
  <c r="E77" i="1"/>
  <c r="E76" i="1"/>
  <c r="E75" i="1"/>
  <c r="E72" i="1"/>
  <c r="E71" i="1"/>
  <c r="E70" i="1"/>
  <c r="E64" i="1"/>
  <c r="E63" i="1"/>
  <c r="E61" i="1"/>
  <c r="E60" i="1"/>
  <c r="E57" i="1"/>
  <c r="E56" i="1"/>
  <c r="E54" i="1"/>
  <c r="E53" i="1"/>
  <c r="E52" i="1"/>
  <c r="E49" i="1"/>
  <c r="E47" i="1"/>
  <c r="E46" i="1"/>
  <c r="E43" i="1"/>
  <c r="E42" i="1"/>
  <c r="E41" i="1"/>
  <c r="E40" i="1"/>
  <c r="E39" i="1"/>
  <c r="E38" i="1"/>
  <c r="E37" i="1"/>
  <c r="E36" i="1"/>
  <c r="E34" i="1"/>
  <c r="E32" i="1"/>
  <c r="E29" i="1"/>
  <c r="E28" i="1"/>
  <c r="E27" i="1"/>
  <c r="E26" i="1"/>
  <c r="E25" i="1"/>
  <c r="E24" i="1"/>
  <c r="E23" i="1"/>
  <c r="E22" i="1"/>
  <c r="E20" i="1"/>
  <c r="E18" i="1"/>
  <c r="E58" i="1" l="1"/>
  <c r="E30" i="1"/>
  <c r="E65" i="1"/>
  <c r="E80" i="1"/>
  <c r="E73" i="1"/>
  <c r="E44" i="1"/>
  <c r="E50" i="1"/>
  <c r="E89" i="1" l="1"/>
</calcChain>
</file>

<file path=xl/sharedStrings.xml><?xml version="1.0" encoding="utf-8"?>
<sst xmlns="http://schemas.openxmlformats.org/spreadsheetml/2006/main" count="89" uniqueCount="57">
  <si>
    <t>WOC</t>
  </si>
  <si>
    <t>№</t>
  </si>
  <si>
    <t>Наименование</t>
  </si>
  <si>
    <t>Стоимость за единицу, RUB</t>
  </si>
  <si>
    <t>Кол-во, Шт.</t>
  </si>
  <si>
    <t>Общая стоимость, RUB</t>
  </si>
  <si>
    <t>П1 (L=5600м3/ч, Pсети=573Па)</t>
  </si>
  <si>
    <t>id6390166 Приточная установка AirM 80-50 R (Общепром.) /GV-Z1[F4][HW][ES][RH35C (2.2/3000)]GV</t>
  </si>
  <si>
    <t>Обвязка теплообменников</t>
  </si>
  <si>
    <t>Смесительный узел СУ-3 (80-6,3) (рекомендуемая скорость - 2)</t>
  </si>
  <si>
    <t>Автоматика</t>
  </si>
  <si>
    <t>Щит управления BKUP-7.5-W</t>
  </si>
  <si>
    <t>Дифференциальное реле давления SR500</t>
  </si>
  <si>
    <t>Датчик GST-2-PT1K (PT1000)</t>
  </si>
  <si>
    <t>Датчик GST-4-PT1K Box (PT1000)</t>
  </si>
  <si>
    <t>Датчик GST-6-PT1K (PT1000)</t>
  </si>
  <si>
    <t>TSKP 15/4 Термостат защиты от замерзания (реле температуры)</t>
  </si>
  <si>
    <t>Электропривод Sputnik AR230-8-s реверсивный</t>
  </si>
  <si>
    <t>EM60G2R2T4B Преобразователь частоты  2,2 кВт (380В/ 3 фазы)</t>
  </si>
  <si>
    <t>Итого</t>
  </si>
  <si>
    <t>П2 (L=5420м3/ч, Pсети=687Па)</t>
  </si>
  <si>
    <t>id6390437 Приточная установка AirM 80-50 R (Общепром.) /GV-Z1[F4][HW][ES][RH35C (2.2/3000)]GV</t>
  </si>
  <si>
    <t>В2 (L=1600м3/ч, Pсети=237Па)</t>
  </si>
  <si>
    <t>Вставка гибкая GP 500-300</t>
  </si>
  <si>
    <t>Вентилятор канальный SRP-50-30-4D</t>
  </si>
  <si>
    <t>EM60G1R5T4B Преобразователь частоты  1,5 кВт (380В/ 3 фазы)</t>
  </si>
  <si>
    <t>В4 (L=420м3/ч, Pсети=290Па)</t>
  </si>
  <si>
    <t>Гибкая вставка GK 250</t>
  </si>
  <si>
    <t>Вентилятор канальный SRK-250</t>
  </si>
  <si>
    <t>Клапан обратный OLK 250</t>
  </si>
  <si>
    <t>Регулятор скорости 1,5А</t>
  </si>
  <si>
    <t>Щит управления 220 В</t>
  </si>
  <si>
    <t>В5 (L=1500м3/ч, Pсети=260Па)</t>
  </si>
  <si>
    <t>Вставка гибкая GP 600-350</t>
  </si>
  <si>
    <t>Вентилятор канальный SRP-60-35-4D</t>
  </si>
  <si>
    <t>Щит управления 2,2кВт</t>
  </si>
  <si>
    <t>Вентиляторы</t>
  </si>
  <si>
    <t>В1 (L=4000 м3/ч; Pc=312 Па)</t>
  </si>
  <si>
    <t>Стакан монтажный СТМ 202 №4,5 (с утеплением, без уклона, с клапаном на вытяжку)</t>
  </si>
  <si>
    <t>Щит управления 0,75 кВт</t>
  </si>
  <si>
    <t>VKRF №4,5 РВ6 (0,75/1500)</t>
  </si>
  <si>
    <t>В3 (L=5085 м3/ч; Pc=561 Па)</t>
  </si>
  <si>
    <t>Щит управления 1,5 кВт</t>
  </si>
  <si>
    <t>VR 80-75 №5 IS1 D0,95 (1.5/1500)</t>
  </si>
  <si>
    <t>Виброизолятор ДО 39</t>
  </si>
  <si>
    <t>Гибкая вставка В №5 - Общепром.</t>
  </si>
  <si>
    <t>Гибкая вставка Н №5 - Общепром.</t>
  </si>
  <si>
    <t>Различное оборудование</t>
  </si>
  <si>
    <t>Прочие позиции</t>
  </si>
  <si>
    <t>Клапан обратный лепестковый КОЛ-500-К-500-КК</t>
  </si>
  <si>
    <t>Итого по предложению с НДС, 22%</t>
  </si>
  <si>
    <t>КОММЕРЧЕСКОЕ ПРЕДЛОЖЕНИЕ № CI26-000621-01 ОТ 09.09.2026</t>
  </si>
  <si>
    <t xml:space="preserve"> </t>
  </si>
  <si>
    <t>Клиент: Частное лицо</t>
  </si>
  <si>
    <t>Объект: Капитальный ремонт здания  ГБОУ СК «Лицей №14 им. Героя РФ В.В.Нургалиева»</t>
  </si>
  <si>
    <t xml:space="preserve">Менеджер: Заерко Олег </t>
  </si>
  <si>
    <t>Телефон: 8 (963) 389-17-73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</si>
</sst>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b/>
      <sz val="12"/>
      <color rgb="FF000000"/>
      <name val="Arial"/>
    </font>
    <font>
      <b/>
      <sz val="12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rgb="FF345B82"/>
        <bgColor rgb="FF345B82"/>
      </patternFill>
    </fill>
  </fills>
  <borders count="11">
    <border>
      <left/>
      <right/>
      <top/>
      <bottom/>
      <diagonal/>
    </border>
    <border>
      <left style="thin">
        <color rgb="FF2E3436"/>
      </left>
      <right style="thin">
        <color rgb="FF2E3436"/>
      </right>
      <top style="thin">
        <color rgb="FF2E3436"/>
      </top>
      <bottom style="thin">
        <color rgb="FF2E3436"/>
      </bottom>
      <diagonal/>
    </border>
    <border>
      <left/>
      <right/>
      <top/>
      <bottom style="thin">
        <color rgb="FF2E3436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40"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vertical="center" wrapText="1"/>
    </xf>
    <xf numFmtId="4" fontId="0" fillId="2" borderId="0" xfId="0" applyNumberFormat="1" applyFill="1"/>
    <xf numFmtId="4" fontId="1" fillId="3" borderId="3" xfId="0" applyNumberFormat="1" applyFont="1" applyFill="1" applyBorder="1" applyAlignment="1">
      <alignment horizontal="center" vertical="center" wrapText="1"/>
    </xf>
    <xf numFmtId="4" fontId="1" fillId="3" borderId="4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hpeFZNr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0</xdr:row>
      <xdr:rowOff>95250</xdr:rowOff>
    </xdr:from>
    <xdr:ext cx="2105025" cy="80962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0"/>
  <sheetViews>
    <sheetView tabSelected="1" topLeftCell="A76" workbookViewId="0">
      <selection activeCell="A15" sqref="A15:XFD16"/>
    </sheetView>
  </sheetViews>
  <sheetFormatPr defaultColWidth="8.7109375" defaultRowHeight="12.75" x14ac:dyDescent="0.2"/>
  <cols>
    <col min="1" max="1" width="11.42578125" customWidth="1"/>
    <col min="2" max="2" width="47.28515625" customWidth="1"/>
    <col min="3" max="3" width="11.42578125" style="34" customWidth="1"/>
    <col min="4" max="4" width="11.42578125" customWidth="1"/>
    <col min="5" max="5" width="11.42578125" style="34" customWidth="1"/>
    <col min="6" max="1023" width="11.42578125" customWidth="1"/>
  </cols>
  <sheetData>
    <row r="1" spans="1:5" x14ac:dyDescent="0.2">
      <c r="A1" s="27"/>
      <c r="B1" s="27"/>
      <c r="C1" s="27"/>
      <c r="D1" s="27"/>
      <c r="E1" s="27"/>
    </row>
    <row r="2" spans="1:5" ht="15" customHeight="1" x14ac:dyDescent="0.2">
      <c r="A2" s="27"/>
      <c r="B2" s="27"/>
      <c r="C2" s="28" t="s">
        <v>0</v>
      </c>
      <c r="D2" s="28"/>
      <c r="E2" s="28"/>
    </row>
    <row r="3" spans="1:5" x14ac:dyDescent="0.2">
      <c r="A3" s="27"/>
      <c r="B3" s="27"/>
      <c r="C3" s="27"/>
      <c r="D3" s="27"/>
      <c r="E3" s="27"/>
    </row>
    <row r="4" spans="1:5" x14ac:dyDescent="0.2">
      <c r="A4" s="27"/>
      <c r="B4" s="27"/>
      <c r="C4" s="29"/>
      <c r="D4" s="29"/>
      <c r="E4" s="29"/>
    </row>
    <row r="5" spans="1:5" x14ac:dyDescent="0.2">
      <c r="A5" s="27"/>
      <c r="B5" s="27"/>
      <c r="C5" s="38" t="s">
        <v>52</v>
      </c>
      <c r="D5" s="29"/>
      <c r="E5" s="29"/>
    </row>
    <row r="6" spans="1:5" x14ac:dyDescent="0.2">
      <c r="A6" s="27"/>
      <c r="B6" s="27"/>
      <c r="C6" s="29"/>
      <c r="D6" s="29"/>
      <c r="E6" s="29"/>
    </row>
    <row r="7" spans="1:5" x14ac:dyDescent="0.2">
      <c r="A7" s="27"/>
      <c r="B7" s="27"/>
      <c r="C7" s="27"/>
      <c r="D7" s="27"/>
      <c r="E7" s="27"/>
    </row>
    <row r="8" spans="1:5" x14ac:dyDescent="0.2">
      <c r="A8" s="27"/>
      <c r="B8" s="27"/>
      <c r="C8" s="29"/>
      <c r="D8" s="29"/>
      <c r="E8" s="29"/>
    </row>
    <row r="9" spans="1:5" ht="16.149999999999999" customHeight="1" x14ac:dyDescent="0.2">
      <c r="A9" s="37" t="s">
        <v>51</v>
      </c>
      <c r="B9" s="26"/>
      <c r="C9" s="26"/>
      <c r="D9" s="26"/>
      <c r="E9" s="26"/>
    </row>
    <row r="10" spans="1:5" x14ac:dyDescent="0.2">
      <c r="A10" s="27"/>
      <c r="B10" s="27"/>
      <c r="C10" s="27"/>
      <c r="D10" s="27"/>
      <c r="E10" s="27"/>
    </row>
    <row r="11" spans="1:5" x14ac:dyDescent="0.2">
      <c r="A11" s="39" t="s">
        <v>53</v>
      </c>
      <c r="B11" s="18"/>
      <c r="C11" s="18"/>
      <c r="D11" s="18"/>
      <c r="E11" s="18"/>
    </row>
    <row r="12" spans="1:5" x14ac:dyDescent="0.2">
      <c r="A12" s="39" t="s">
        <v>54</v>
      </c>
      <c r="B12" s="18"/>
      <c r="C12" s="18"/>
      <c r="D12" s="18"/>
      <c r="E12" s="18"/>
    </row>
    <row r="13" spans="1:5" x14ac:dyDescent="0.2">
      <c r="A13" s="39" t="s">
        <v>55</v>
      </c>
      <c r="B13" s="39"/>
      <c r="C13" s="39"/>
      <c r="D13" s="39"/>
      <c r="E13" s="39"/>
    </row>
    <row r="14" spans="1:5" x14ac:dyDescent="0.2">
      <c r="A14" s="39" t="s">
        <v>56</v>
      </c>
      <c r="B14" s="18"/>
      <c r="C14" s="18"/>
      <c r="D14" s="18"/>
      <c r="E14" s="18"/>
    </row>
    <row r="15" spans="1:5" x14ac:dyDescent="0.2">
      <c r="A15" s="19"/>
      <c r="B15" s="19"/>
      <c r="C15" s="19"/>
      <c r="D15" s="19"/>
      <c r="E15" s="19"/>
    </row>
    <row r="16" spans="1:5" ht="48" customHeight="1" x14ac:dyDescent="0.2">
      <c r="A16" s="1" t="s">
        <v>1</v>
      </c>
      <c r="B16" s="1" t="s">
        <v>2</v>
      </c>
      <c r="C16" s="30" t="s">
        <v>3</v>
      </c>
      <c r="D16" s="1" t="s">
        <v>4</v>
      </c>
      <c r="E16" s="30" t="s">
        <v>5</v>
      </c>
    </row>
    <row r="17" spans="1:5" x14ac:dyDescent="0.2">
      <c r="A17" s="16" t="s">
        <v>6</v>
      </c>
      <c r="B17" s="13"/>
      <c r="C17" s="14"/>
      <c r="D17" s="15"/>
      <c r="E17" s="14"/>
    </row>
    <row r="18" spans="1:5" ht="25.9" customHeight="1" x14ac:dyDescent="0.2">
      <c r="A18" s="2">
        <v>1</v>
      </c>
      <c r="B18" s="3" t="s">
        <v>7</v>
      </c>
      <c r="C18" s="31">
        <v>282156</v>
      </c>
      <c r="D18" s="2">
        <v>1</v>
      </c>
      <c r="E18" s="31">
        <f>C18*D18</f>
        <v>282156</v>
      </c>
    </row>
    <row r="19" spans="1:5" x14ac:dyDescent="0.2">
      <c r="A19" s="2"/>
      <c r="B19" s="11" t="s">
        <v>8</v>
      </c>
      <c r="C19" s="31"/>
      <c r="D19" s="2"/>
      <c r="E19" s="31"/>
    </row>
    <row r="20" spans="1:5" ht="25.9" customHeight="1" x14ac:dyDescent="0.2">
      <c r="A20" s="2">
        <v>2</v>
      </c>
      <c r="B20" s="3" t="s">
        <v>9</v>
      </c>
      <c r="C20" s="31">
        <v>110101</v>
      </c>
      <c r="D20" s="2">
        <v>1</v>
      </c>
      <c r="E20" s="31">
        <f>C20*D20</f>
        <v>110101</v>
      </c>
    </row>
    <row r="21" spans="1:5" x14ac:dyDescent="0.2">
      <c r="A21" s="2"/>
      <c r="B21" s="11" t="s">
        <v>10</v>
      </c>
      <c r="C21" s="31"/>
      <c r="D21" s="2"/>
      <c r="E21" s="31"/>
    </row>
    <row r="22" spans="1:5" ht="13.15" customHeight="1" x14ac:dyDescent="0.2">
      <c r="A22" s="2">
        <v>3</v>
      </c>
      <c r="B22" s="3" t="s">
        <v>11</v>
      </c>
      <c r="C22" s="31">
        <v>97920</v>
      </c>
      <c r="D22" s="2">
        <v>1</v>
      </c>
      <c r="E22" s="31">
        <f t="shared" ref="E22:E29" si="0">C22*D22</f>
        <v>97920</v>
      </c>
    </row>
    <row r="23" spans="1:5" ht="13.15" customHeight="1" x14ac:dyDescent="0.2">
      <c r="A23" s="2">
        <v>4</v>
      </c>
      <c r="B23" s="3" t="s">
        <v>12</v>
      </c>
      <c r="C23" s="31">
        <v>1460</v>
      </c>
      <c r="D23" s="2">
        <v>2</v>
      </c>
      <c r="E23" s="31">
        <f t="shared" si="0"/>
        <v>2920</v>
      </c>
    </row>
    <row r="24" spans="1:5" ht="13.15" customHeight="1" x14ac:dyDescent="0.2">
      <c r="A24" s="2">
        <v>5</v>
      </c>
      <c r="B24" s="3" t="s">
        <v>13</v>
      </c>
      <c r="C24" s="31">
        <v>942</v>
      </c>
      <c r="D24" s="2">
        <v>1</v>
      </c>
      <c r="E24" s="31">
        <f t="shared" si="0"/>
        <v>942</v>
      </c>
    </row>
    <row r="25" spans="1:5" ht="13.15" customHeight="1" x14ac:dyDescent="0.2">
      <c r="A25" s="2">
        <v>6</v>
      </c>
      <c r="B25" s="3" t="s">
        <v>14</v>
      </c>
      <c r="C25" s="31">
        <v>1882</v>
      </c>
      <c r="D25" s="2">
        <v>1</v>
      </c>
      <c r="E25" s="31">
        <f t="shared" si="0"/>
        <v>1882</v>
      </c>
    </row>
    <row r="26" spans="1:5" ht="13.15" customHeight="1" x14ac:dyDescent="0.2">
      <c r="A26" s="2">
        <v>7</v>
      </c>
      <c r="B26" s="3" t="s">
        <v>15</v>
      </c>
      <c r="C26" s="31">
        <v>1344</v>
      </c>
      <c r="D26" s="2">
        <v>1</v>
      </c>
      <c r="E26" s="31">
        <f t="shared" si="0"/>
        <v>1344</v>
      </c>
    </row>
    <row r="27" spans="1:5" ht="25.9" customHeight="1" x14ac:dyDescent="0.2">
      <c r="A27" s="2">
        <v>8</v>
      </c>
      <c r="B27" s="3" t="s">
        <v>16</v>
      </c>
      <c r="C27" s="31">
        <v>13800</v>
      </c>
      <c r="D27" s="2">
        <v>1</v>
      </c>
      <c r="E27" s="31">
        <f t="shared" si="0"/>
        <v>13800</v>
      </c>
    </row>
    <row r="28" spans="1:5" ht="13.15" customHeight="1" x14ac:dyDescent="0.2">
      <c r="A28" s="2">
        <v>9</v>
      </c>
      <c r="B28" s="3" t="s">
        <v>17</v>
      </c>
      <c r="C28" s="31">
        <v>6800</v>
      </c>
      <c r="D28" s="2">
        <v>1</v>
      </c>
      <c r="E28" s="31">
        <f t="shared" si="0"/>
        <v>6800</v>
      </c>
    </row>
    <row r="29" spans="1:5" ht="25.9" customHeight="1" x14ac:dyDescent="0.2">
      <c r="A29" s="2">
        <v>10</v>
      </c>
      <c r="B29" s="3" t="s">
        <v>18</v>
      </c>
      <c r="C29" s="31">
        <v>19840</v>
      </c>
      <c r="D29" s="2">
        <v>1</v>
      </c>
      <c r="E29" s="31">
        <f t="shared" si="0"/>
        <v>19840</v>
      </c>
    </row>
    <row r="30" spans="1:5" ht="14.25" customHeight="1" x14ac:dyDescent="0.2">
      <c r="A30" s="12" t="s">
        <v>19</v>
      </c>
      <c r="B30" s="13"/>
      <c r="C30" s="14"/>
      <c r="D30" s="15"/>
      <c r="E30" s="31">
        <f>SUM(E18:E29)</f>
        <v>537705</v>
      </c>
    </row>
    <row r="31" spans="1:5" x14ac:dyDescent="0.2">
      <c r="A31" s="16" t="s">
        <v>20</v>
      </c>
      <c r="B31" s="13"/>
      <c r="C31" s="14"/>
      <c r="D31" s="15"/>
      <c r="E31" s="14"/>
    </row>
    <row r="32" spans="1:5" ht="25.9" customHeight="1" x14ac:dyDescent="0.2">
      <c r="A32" s="2">
        <v>11</v>
      </c>
      <c r="B32" s="3" t="s">
        <v>21</v>
      </c>
      <c r="C32" s="31">
        <v>282156</v>
      </c>
      <c r="D32" s="2">
        <v>1</v>
      </c>
      <c r="E32" s="31">
        <f>C32*D32</f>
        <v>282156</v>
      </c>
    </row>
    <row r="33" spans="1:5" x14ac:dyDescent="0.2">
      <c r="A33" s="2"/>
      <c r="B33" s="11" t="s">
        <v>8</v>
      </c>
      <c r="C33" s="31"/>
      <c r="D33" s="2"/>
      <c r="E33" s="31"/>
    </row>
    <row r="34" spans="1:5" ht="25.9" customHeight="1" x14ac:dyDescent="0.2">
      <c r="A34" s="2">
        <v>12</v>
      </c>
      <c r="B34" s="3" t="s">
        <v>9</v>
      </c>
      <c r="C34" s="31">
        <v>110101</v>
      </c>
      <c r="D34" s="2">
        <v>1</v>
      </c>
      <c r="E34" s="31">
        <f>C34*D34</f>
        <v>110101</v>
      </c>
    </row>
    <row r="35" spans="1:5" x14ac:dyDescent="0.2">
      <c r="A35" s="2"/>
      <c r="B35" s="11" t="s">
        <v>10</v>
      </c>
      <c r="C35" s="31"/>
      <c r="D35" s="2"/>
      <c r="E35" s="31"/>
    </row>
    <row r="36" spans="1:5" ht="13.15" customHeight="1" x14ac:dyDescent="0.2">
      <c r="A36" s="2">
        <v>13</v>
      </c>
      <c r="B36" s="3" t="s">
        <v>11</v>
      </c>
      <c r="C36" s="31">
        <v>97920</v>
      </c>
      <c r="D36" s="2">
        <v>1</v>
      </c>
      <c r="E36" s="31">
        <f t="shared" ref="E36:E43" si="1">C36*D36</f>
        <v>97920</v>
      </c>
    </row>
    <row r="37" spans="1:5" ht="13.15" customHeight="1" x14ac:dyDescent="0.2">
      <c r="A37" s="2">
        <v>14</v>
      </c>
      <c r="B37" s="3" t="s">
        <v>12</v>
      </c>
      <c r="C37" s="31">
        <v>1460</v>
      </c>
      <c r="D37" s="2">
        <v>2</v>
      </c>
      <c r="E37" s="31">
        <f t="shared" si="1"/>
        <v>2920</v>
      </c>
    </row>
    <row r="38" spans="1:5" ht="13.15" customHeight="1" x14ac:dyDescent="0.2">
      <c r="A38" s="2">
        <v>15</v>
      </c>
      <c r="B38" s="3" t="s">
        <v>13</v>
      </c>
      <c r="C38" s="31">
        <v>942</v>
      </c>
      <c r="D38" s="2">
        <v>1</v>
      </c>
      <c r="E38" s="31">
        <f t="shared" si="1"/>
        <v>942</v>
      </c>
    </row>
    <row r="39" spans="1:5" ht="13.15" customHeight="1" x14ac:dyDescent="0.2">
      <c r="A39" s="2">
        <v>16</v>
      </c>
      <c r="B39" s="3" t="s">
        <v>14</v>
      </c>
      <c r="C39" s="31">
        <v>1882</v>
      </c>
      <c r="D39" s="2">
        <v>1</v>
      </c>
      <c r="E39" s="31">
        <f t="shared" si="1"/>
        <v>1882</v>
      </c>
    </row>
    <row r="40" spans="1:5" ht="13.15" customHeight="1" x14ac:dyDescent="0.2">
      <c r="A40" s="2">
        <v>17</v>
      </c>
      <c r="B40" s="3" t="s">
        <v>15</v>
      </c>
      <c r="C40" s="31">
        <v>1344</v>
      </c>
      <c r="D40" s="2">
        <v>1</v>
      </c>
      <c r="E40" s="31">
        <f t="shared" si="1"/>
        <v>1344</v>
      </c>
    </row>
    <row r="41" spans="1:5" ht="25.9" customHeight="1" x14ac:dyDescent="0.2">
      <c r="A41" s="2">
        <v>18</v>
      </c>
      <c r="B41" s="3" t="s">
        <v>16</v>
      </c>
      <c r="C41" s="31">
        <v>13800</v>
      </c>
      <c r="D41" s="2">
        <v>1</v>
      </c>
      <c r="E41" s="31">
        <f t="shared" si="1"/>
        <v>13800</v>
      </c>
    </row>
    <row r="42" spans="1:5" ht="13.15" customHeight="1" x14ac:dyDescent="0.2">
      <c r="A42" s="2">
        <v>19</v>
      </c>
      <c r="B42" s="3" t="s">
        <v>17</v>
      </c>
      <c r="C42" s="31">
        <v>6800</v>
      </c>
      <c r="D42" s="2">
        <v>1</v>
      </c>
      <c r="E42" s="31">
        <f t="shared" si="1"/>
        <v>6800</v>
      </c>
    </row>
    <row r="43" spans="1:5" ht="25.9" customHeight="1" x14ac:dyDescent="0.2">
      <c r="A43" s="2">
        <v>20</v>
      </c>
      <c r="B43" s="3" t="s">
        <v>18</v>
      </c>
      <c r="C43" s="31">
        <v>19840</v>
      </c>
      <c r="D43" s="2">
        <v>1</v>
      </c>
      <c r="E43" s="31">
        <f t="shared" si="1"/>
        <v>19840</v>
      </c>
    </row>
    <row r="44" spans="1:5" ht="14.25" customHeight="1" x14ac:dyDescent="0.2">
      <c r="A44" s="12" t="s">
        <v>19</v>
      </c>
      <c r="B44" s="13"/>
      <c r="C44" s="14"/>
      <c r="D44" s="15"/>
      <c r="E44" s="31">
        <f>SUM(E32:E43)</f>
        <v>537705</v>
      </c>
    </row>
    <row r="45" spans="1:5" x14ac:dyDescent="0.2">
      <c r="A45" s="16" t="s">
        <v>22</v>
      </c>
      <c r="B45" s="13"/>
      <c r="C45" s="14"/>
      <c r="D45" s="15"/>
      <c r="E45" s="14"/>
    </row>
    <row r="46" spans="1:5" ht="13.15" customHeight="1" x14ac:dyDescent="0.2">
      <c r="A46" s="2">
        <v>21</v>
      </c>
      <c r="B46" s="3" t="s">
        <v>23</v>
      </c>
      <c r="C46" s="31">
        <v>1404</v>
      </c>
      <c r="D46" s="2">
        <v>2</v>
      </c>
      <c r="E46" s="31">
        <f>C46*D46</f>
        <v>2808</v>
      </c>
    </row>
    <row r="47" spans="1:5" ht="13.15" customHeight="1" x14ac:dyDescent="0.2">
      <c r="A47" s="2">
        <v>22</v>
      </c>
      <c r="B47" s="3" t="s">
        <v>24</v>
      </c>
      <c r="C47" s="31">
        <v>28501</v>
      </c>
      <c r="D47" s="2">
        <v>1</v>
      </c>
      <c r="E47" s="31">
        <f>C47*D47</f>
        <v>28501</v>
      </c>
    </row>
    <row r="48" spans="1:5" x14ac:dyDescent="0.2">
      <c r="A48" s="2"/>
      <c r="B48" s="11" t="s">
        <v>10</v>
      </c>
      <c r="C48" s="31"/>
      <c r="D48" s="2"/>
      <c r="E48" s="31"/>
    </row>
    <row r="49" spans="1:5" ht="25.9" customHeight="1" x14ac:dyDescent="0.2">
      <c r="A49" s="2">
        <v>23</v>
      </c>
      <c r="B49" s="3" t="s">
        <v>25</v>
      </c>
      <c r="C49" s="31">
        <v>16060</v>
      </c>
      <c r="D49" s="2">
        <v>1</v>
      </c>
      <c r="E49" s="31">
        <f>C49*D49</f>
        <v>16060</v>
      </c>
    </row>
    <row r="50" spans="1:5" ht="14.25" customHeight="1" x14ac:dyDescent="0.2">
      <c r="A50" s="12" t="s">
        <v>19</v>
      </c>
      <c r="B50" s="13"/>
      <c r="C50" s="14"/>
      <c r="D50" s="15"/>
      <c r="E50" s="31">
        <f>SUM(E46:E49)</f>
        <v>47369</v>
      </c>
    </row>
    <row r="51" spans="1:5" x14ac:dyDescent="0.2">
      <c r="A51" s="16" t="s">
        <v>26</v>
      </c>
      <c r="B51" s="13"/>
      <c r="C51" s="14"/>
      <c r="D51" s="15"/>
      <c r="E51" s="14"/>
    </row>
    <row r="52" spans="1:5" ht="13.15" customHeight="1" x14ac:dyDescent="0.2">
      <c r="A52" s="2">
        <v>24</v>
      </c>
      <c r="B52" s="3" t="s">
        <v>27</v>
      </c>
      <c r="C52" s="31">
        <v>804</v>
      </c>
      <c r="D52" s="2">
        <v>2</v>
      </c>
      <c r="E52" s="31">
        <f>C52*D52</f>
        <v>1608</v>
      </c>
    </row>
    <row r="53" spans="1:5" ht="13.15" customHeight="1" x14ac:dyDescent="0.2">
      <c r="A53" s="2">
        <v>25</v>
      </c>
      <c r="B53" s="3" t="s">
        <v>28</v>
      </c>
      <c r="C53" s="31">
        <v>8925</v>
      </c>
      <c r="D53" s="2">
        <v>1</v>
      </c>
      <c r="E53" s="31">
        <f>C53*D53</f>
        <v>8925</v>
      </c>
    </row>
    <row r="54" spans="1:5" ht="13.15" customHeight="1" x14ac:dyDescent="0.2">
      <c r="A54" s="2">
        <v>26</v>
      </c>
      <c r="B54" s="3" t="s">
        <v>29</v>
      </c>
      <c r="C54" s="31">
        <v>1605</v>
      </c>
      <c r="D54" s="2">
        <v>1</v>
      </c>
      <c r="E54" s="31">
        <f>C54*D54</f>
        <v>1605</v>
      </c>
    </row>
    <row r="55" spans="1:5" x14ac:dyDescent="0.2">
      <c r="A55" s="2"/>
      <c r="B55" s="11" t="s">
        <v>10</v>
      </c>
      <c r="C55" s="31"/>
      <c r="D55" s="2"/>
      <c r="E55" s="31"/>
    </row>
    <row r="56" spans="1:5" ht="13.15" customHeight="1" x14ac:dyDescent="0.2">
      <c r="A56" s="2">
        <v>27</v>
      </c>
      <c r="B56" s="3" t="s">
        <v>30</v>
      </c>
      <c r="C56" s="31">
        <v>2489</v>
      </c>
      <c r="D56" s="2">
        <v>1</v>
      </c>
      <c r="E56" s="31">
        <f>C56*D56</f>
        <v>2489</v>
      </c>
    </row>
    <row r="57" spans="1:5" ht="13.15" customHeight="1" x14ac:dyDescent="0.2">
      <c r="A57" s="2">
        <v>28</v>
      </c>
      <c r="B57" s="3" t="s">
        <v>31</v>
      </c>
      <c r="C57" s="31">
        <v>60000</v>
      </c>
      <c r="D57" s="2">
        <v>1</v>
      </c>
      <c r="E57" s="31">
        <f>C57*D57</f>
        <v>60000</v>
      </c>
    </row>
    <row r="58" spans="1:5" ht="14.25" customHeight="1" x14ac:dyDescent="0.2">
      <c r="A58" s="12" t="s">
        <v>19</v>
      </c>
      <c r="B58" s="13"/>
      <c r="C58" s="14"/>
      <c r="D58" s="15"/>
      <c r="E58" s="31">
        <f>SUM(E52:E57)</f>
        <v>74627</v>
      </c>
    </row>
    <row r="59" spans="1:5" x14ac:dyDescent="0.2">
      <c r="A59" s="16" t="s">
        <v>32</v>
      </c>
      <c r="B59" s="13"/>
      <c r="C59" s="14"/>
      <c r="D59" s="15"/>
      <c r="E59" s="14"/>
    </row>
    <row r="60" spans="1:5" ht="13.15" customHeight="1" x14ac:dyDescent="0.2">
      <c r="A60" s="2">
        <v>29</v>
      </c>
      <c r="B60" s="3" t="s">
        <v>33</v>
      </c>
      <c r="C60" s="31">
        <v>1608</v>
      </c>
      <c r="D60" s="2">
        <v>2</v>
      </c>
      <c r="E60" s="31">
        <f>C60*D60</f>
        <v>3216</v>
      </c>
    </row>
    <row r="61" spans="1:5" ht="13.15" customHeight="1" x14ac:dyDescent="0.2">
      <c r="A61" s="2">
        <v>30</v>
      </c>
      <c r="B61" s="3" t="s">
        <v>34</v>
      </c>
      <c r="C61" s="31">
        <v>65063</v>
      </c>
      <c r="D61" s="2">
        <v>1</v>
      </c>
      <c r="E61" s="31">
        <f>C61*D61</f>
        <v>65063</v>
      </c>
    </row>
    <row r="62" spans="1:5" x14ac:dyDescent="0.2">
      <c r="A62" s="2"/>
      <c r="B62" s="11" t="s">
        <v>10</v>
      </c>
      <c r="C62" s="31"/>
      <c r="D62" s="2"/>
      <c r="E62" s="31"/>
    </row>
    <row r="63" spans="1:5" ht="25.9" customHeight="1" x14ac:dyDescent="0.2">
      <c r="A63" s="2">
        <v>31</v>
      </c>
      <c r="B63" s="3" t="s">
        <v>18</v>
      </c>
      <c r="C63" s="31">
        <v>19840</v>
      </c>
      <c r="D63" s="2">
        <v>1</v>
      </c>
      <c r="E63" s="31">
        <f>C63*D63</f>
        <v>19840</v>
      </c>
    </row>
    <row r="64" spans="1:5" ht="13.15" customHeight="1" x14ac:dyDescent="0.2">
      <c r="A64" s="2">
        <v>32</v>
      </c>
      <c r="B64" s="3" t="s">
        <v>35</v>
      </c>
      <c r="C64" s="31">
        <v>90000</v>
      </c>
      <c r="D64" s="2">
        <v>1</v>
      </c>
      <c r="E64" s="31">
        <f>C64*D64</f>
        <v>90000</v>
      </c>
    </row>
    <row r="65" spans="1:5" ht="14.25" customHeight="1" x14ac:dyDescent="0.2">
      <c r="A65" s="12" t="s">
        <v>19</v>
      </c>
      <c r="B65" s="13"/>
      <c r="C65" s="14"/>
      <c r="D65" s="15"/>
      <c r="E65" s="31">
        <f>SUM(E60:E64)</f>
        <v>178119</v>
      </c>
    </row>
    <row r="66" spans="1:5" x14ac:dyDescent="0.2">
      <c r="A66" s="4"/>
      <c r="B66" s="4"/>
      <c r="C66" s="5"/>
      <c r="D66" s="4"/>
      <c r="E66" s="5"/>
    </row>
    <row r="67" spans="1:5" ht="14.65" customHeight="1" x14ac:dyDescent="0.2">
      <c r="A67" s="8" t="s">
        <v>36</v>
      </c>
      <c r="B67" s="7"/>
      <c r="C67" s="5"/>
      <c r="D67" s="4"/>
      <c r="E67" s="5"/>
    </row>
    <row r="68" spans="1:5" ht="48" customHeight="1" x14ac:dyDescent="0.2">
      <c r="A68" s="1" t="s">
        <v>1</v>
      </c>
      <c r="B68" s="1" t="s">
        <v>2</v>
      </c>
      <c r="C68" s="30" t="s">
        <v>3</v>
      </c>
      <c r="D68" s="1" t="s">
        <v>4</v>
      </c>
      <c r="E68" s="30" t="s">
        <v>5</v>
      </c>
    </row>
    <row r="69" spans="1:5" x14ac:dyDescent="0.2">
      <c r="A69" s="16" t="s">
        <v>37</v>
      </c>
      <c r="B69" s="13"/>
      <c r="C69" s="14"/>
      <c r="D69" s="15"/>
      <c r="E69" s="14"/>
    </row>
    <row r="70" spans="1:5" ht="25.9" customHeight="1" x14ac:dyDescent="0.2">
      <c r="A70" s="2">
        <v>1</v>
      </c>
      <c r="B70" s="3" t="s">
        <v>38</v>
      </c>
      <c r="C70" s="31">
        <v>76192</v>
      </c>
      <c r="D70" s="2">
        <v>1</v>
      </c>
      <c r="E70" s="31">
        <f>C70*D70</f>
        <v>76192</v>
      </c>
    </row>
    <row r="71" spans="1:5" ht="13.15" customHeight="1" x14ac:dyDescent="0.2">
      <c r="A71" s="2">
        <v>2</v>
      </c>
      <c r="B71" s="3" t="s">
        <v>39</v>
      </c>
      <c r="C71" s="31">
        <v>57098</v>
      </c>
      <c r="D71" s="2">
        <v>1</v>
      </c>
      <c r="E71" s="31">
        <f>C71*D71</f>
        <v>57098</v>
      </c>
    </row>
    <row r="72" spans="1:5" ht="13.15" customHeight="1" x14ac:dyDescent="0.2">
      <c r="A72" s="2">
        <v>3</v>
      </c>
      <c r="B72" s="3" t="s">
        <v>40</v>
      </c>
      <c r="C72" s="31">
        <v>119027</v>
      </c>
      <c r="D72" s="2">
        <v>1</v>
      </c>
      <c r="E72" s="31">
        <f>C72*D72</f>
        <v>119027</v>
      </c>
    </row>
    <row r="73" spans="1:5" ht="14.25" customHeight="1" x14ac:dyDescent="0.2">
      <c r="A73" s="12" t="s">
        <v>19</v>
      </c>
      <c r="B73" s="13"/>
      <c r="C73" s="17"/>
      <c r="D73" s="15"/>
      <c r="E73" s="30">
        <f>SUM(E70:E72)</f>
        <v>252317</v>
      </c>
    </row>
    <row r="74" spans="1:5" x14ac:dyDescent="0.2">
      <c r="A74" s="16" t="s">
        <v>41</v>
      </c>
      <c r="B74" s="13"/>
      <c r="C74" s="14"/>
      <c r="D74" s="15"/>
      <c r="E74" s="14"/>
    </row>
    <row r="75" spans="1:5" ht="13.15" customHeight="1" x14ac:dyDescent="0.2">
      <c r="A75" s="2">
        <v>4</v>
      </c>
      <c r="B75" s="3" t="s">
        <v>42</v>
      </c>
      <c r="C75" s="31">
        <v>58320</v>
      </c>
      <c r="D75" s="2">
        <v>1</v>
      </c>
      <c r="E75" s="31">
        <f>C75*D75</f>
        <v>58320</v>
      </c>
    </row>
    <row r="76" spans="1:5" ht="13.15" customHeight="1" x14ac:dyDescent="0.2">
      <c r="A76" s="2">
        <v>5</v>
      </c>
      <c r="B76" s="3" t="s">
        <v>43</v>
      </c>
      <c r="C76" s="31">
        <v>48196</v>
      </c>
      <c r="D76" s="2">
        <v>1</v>
      </c>
      <c r="E76" s="31">
        <f>C76*D76</f>
        <v>48196</v>
      </c>
    </row>
    <row r="77" spans="1:5" ht="13.15" customHeight="1" x14ac:dyDescent="0.2">
      <c r="A77" s="2">
        <v>6</v>
      </c>
      <c r="B77" s="3" t="s">
        <v>44</v>
      </c>
      <c r="C77" s="31">
        <v>453</v>
      </c>
      <c r="D77" s="2">
        <v>5</v>
      </c>
      <c r="E77" s="31">
        <f>C77*D77</f>
        <v>2265</v>
      </c>
    </row>
    <row r="78" spans="1:5" ht="13.15" customHeight="1" x14ac:dyDescent="0.2">
      <c r="A78" s="2">
        <v>7</v>
      </c>
      <c r="B78" s="3" t="s">
        <v>45</v>
      </c>
      <c r="C78" s="31">
        <v>5264</v>
      </c>
      <c r="D78" s="2">
        <v>1</v>
      </c>
      <c r="E78" s="31">
        <f>C78*D78</f>
        <v>5264</v>
      </c>
    </row>
    <row r="79" spans="1:5" ht="13.15" customHeight="1" x14ac:dyDescent="0.2">
      <c r="A79" s="2">
        <v>8</v>
      </c>
      <c r="B79" s="3" t="s">
        <v>46</v>
      </c>
      <c r="C79" s="31">
        <v>5087</v>
      </c>
      <c r="D79" s="2">
        <v>1</v>
      </c>
      <c r="E79" s="31">
        <f>C79*D79</f>
        <v>5087</v>
      </c>
    </row>
    <row r="80" spans="1:5" ht="14.25" customHeight="1" x14ac:dyDescent="0.2">
      <c r="A80" s="12" t="s">
        <v>19</v>
      </c>
      <c r="B80" s="13"/>
      <c r="C80" s="14"/>
      <c r="D80" s="15"/>
      <c r="E80" s="31">
        <f>SUM(E75:E79)</f>
        <v>119132</v>
      </c>
    </row>
    <row r="81" spans="1:5" x14ac:dyDescent="0.2">
      <c r="A81" s="4"/>
      <c r="B81" s="4"/>
      <c r="C81" s="5"/>
      <c r="D81" s="4"/>
      <c r="E81" s="5"/>
    </row>
    <row r="82" spans="1:5" ht="14.65" customHeight="1" x14ac:dyDescent="0.2">
      <c r="A82" s="8" t="s">
        <v>47</v>
      </c>
      <c r="B82" s="7"/>
      <c r="C82" s="5"/>
      <c r="D82" s="4"/>
      <c r="E82" s="5"/>
    </row>
    <row r="83" spans="1:5" ht="48" customHeight="1" x14ac:dyDescent="0.2">
      <c r="A83" s="1" t="s">
        <v>1</v>
      </c>
      <c r="B83" s="1" t="s">
        <v>2</v>
      </c>
      <c r="C83" s="30" t="s">
        <v>3</v>
      </c>
      <c r="D83" s="1" t="s">
        <v>4</v>
      </c>
      <c r="E83" s="30" t="s">
        <v>5</v>
      </c>
    </row>
    <row r="84" spans="1:5" x14ac:dyDescent="0.2">
      <c r="A84" s="16" t="s">
        <v>48</v>
      </c>
      <c r="B84" s="13"/>
      <c r="C84" s="14"/>
      <c r="D84" s="15"/>
      <c r="E84" s="14"/>
    </row>
    <row r="85" spans="1:5" ht="13.15" customHeight="1" x14ac:dyDescent="0.2">
      <c r="A85" s="2">
        <v>1</v>
      </c>
      <c r="B85" s="3" t="s">
        <v>49</v>
      </c>
      <c r="C85" s="31">
        <v>4500</v>
      </c>
      <c r="D85" s="2">
        <v>1</v>
      </c>
      <c r="E85" s="31">
        <f>C85*D85</f>
        <v>4500</v>
      </c>
    </row>
    <row r="86" spans="1:5" ht="14.25" customHeight="1" x14ac:dyDescent="0.2">
      <c r="A86" s="12" t="s">
        <v>19</v>
      </c>
      <c r="B86" s="13"/>
      <c r="C86" s="14"/>
      <c r="D86" s="15"/>
      <c r="E86" s="31">
        <f>SUM(E85:E85)</f>
        <v>4500</v>
      </c>
    </row>
    <row r="87" spans="1:5" x14ac:dyDescent="0.2">
      <c r="A87" s="9"/>
      <c r="B87" s="10"/>
      <c r="C87" s="32"/>
      <c r="D87" s="9"/>
      <c r="E87" s="32"/>
    </row>
    <row r="88" spans="1:5" x14ac:dyDescent="0.2">
      <c r="A88" s="6"/>
      <c r="B88" s="6"/>
      <c r="C88" s="33"/>
      <c r="D88" s="6"/>
      <c r="E88" s="5"/>
    </row>
    <row r="89" spans="1:5" ht="48" customHeight="1" x14ac:dyDescent="0.2">
      <c r="A89" s="20" t="s">
        <v>50</v>
      </c>
      <c r="B89" s="21"/>
      <c r="C89" s="21"/>
      <c r="D89" s="22"/>
      <c r="E89" s="35">
        <f>(E30+E44+E50+E58+E65+E73+E80+E86)</f>
        <v>1751474</v>
      </c>
    </row>
    <row r="90" spans="1:5" x14ac:dyDescent="0.2">
      <c r="A90" s="23"/>
      <c r="B90" s="24"/>
      <c r="C90" s="24"/>
      <c r="D90" s="25"/>
      <c r="E90" s="36"/>
    </row>
  </sheetData>
  <sheetProtection formatCells="0" formatColumns="0" formatRows="0" insertColumns="0" insertRows="0" insertHyperlinks="0" deleteColumns="0" deleteRows="0" sort="0" autoFilter="0" pivotTables="0"/>
  <mergeCells count="34">
    <mergeCell ref="A13:E13"/>
    <mergeCell ref="A1:B8"/>
    <mergeCell ref="C1:E1"/>
    <mergeCell ref="C2:E2"/>
    <mergeCell ref="C3:E3"/>
    <mergeCell ref="C4:E4"/>
    <mergeCell ref="C5:E5"/>
    <mergeCell ref="C6:E6"/>
    <mergeCell ref="C7:E7"/>
    <mergeCell ref="C8:E8"/>
    <mergeCell ref="A9:E9"/>
    <mergeCell ref="A10:E10"/>
    <mergeCell ref="A11:E11"/>
    <mergeCell ref="A12:E12"/>
    <mergeCell ref="A14:E14"/>
    <mergeCell ref="A15:E15"/>
    <mergeCell ref="A89:D90"/>
    <mergeCell ref="E89:E90"/>
    <mergeCell ref="A17:E17"/>
    <mergeCell ref="A30:D30"/>
    <mergeCell ref="A31:E31"/>
    <mergeCell ref="A44:D44"/>
    <mergeCell ref="A45:E45"/>
    <mergeCell ref="A50:D50"/>
    <mergeCell ref="A51:E51"/>
    <mergeCell ref="A58:D58"/>
    <mergeCell ref="A80:D80"/>
    <mergeCell ref="A84:E84"/>
    <mergeCell ref="A86:D86"/>
    <mergeCell ref="A59:E59"/>
    <mergeCell ref="A65:D65"/>
    <mergeCell ref="A69:E69"/>
    <mergeCell ref="A73:D73"/>
    <mergeCell ref="A74:E74"/>
  </mergeCells>
  <pageMargins left="0.78749999999999998" right="0.78749999999999998" top="1.0527777777778" bottom="1.0527777777778" header="0.78749999999999998" footer="0.78749999999999998"/>
  <pageSetup fitToHeight="0" orientation="portrait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Anastasiya</dc:creator>
  <cp:keywords/>
  <dc:description/>
  <cp:lastModifiedBy>SVOK</cp:lastModifiedBy>
  <dcterms:created xsi:type="dcterms:W3CDTF">2019-05-16T11:59:22Z</dcterms:created>
  <dcterms:modified xsi:type="dcterms:W3CDTF">2026-09-09T09:03:23Z</dcterms:modified>
  <cp:category/>
</cp:coreProperties>
</file>